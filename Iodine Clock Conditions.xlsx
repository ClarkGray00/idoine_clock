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universityofliverpool-my.sharepoint.com/personal/clarkg_liverpool_ac_uk/Documents/Documents/25JAN/Iodine Clock Invest/"/>
    </mc:Choice>
  </mc:AlternateContent>
  <xr:revisionPtr revIDLastSave="220" documentId="8_{921EC957-B0B1-49BD-A4EF-8910C2C11145}" xr6:coauthVersionLast="47" xr6:coauthVersionMax="47" xr10:uidLastSave="{17A3B905-D143-41E8-8C92-B6D531C7C2D1}"/>
  <bookViews>
    <workbookView xWindow="-28920" yWindow="-1950" windowWidth="29040" windowHeight="15840" xr2:uid="{AC7108AB-0394-4744-BB89-4B7758F39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3" i="1"/>
  <c r="O4" i="1"/>
  <c r="O5" i="1"/>
  <c r="O6" i="1"/>
  <c r="O7" i="1"/>
  <c r="O8" i="1"/>
  <c r="O9" i="1"/>
  <c r="O10" i="1"/>
  <c r="O11" i="1"/>
  <c r="O13" i="1"/>
  <c r="O14" i="1"/>
  <c r="O15" i="1"/>
  <c r="O16" i="1"/>
  <c r="O17" i="1"/>
  <c r="O18" i="1"/>
  <c r="O19" i="1"/>
  <c r="O20" i="1"/>
  <c r="O3" i="1"/>
  <c r="N13" i="1"/>
  <c r="N14" i="1"/>
  <c r="N15" i="1"/>
  <c r="N16" i="1"/>
  <c r="N17" i="1"/>
  <c r="N18" i="1"/>
  <c r="N19" i="1"/>
  <c r="N20" i="1"/>
  <c r="N4" i="1"/>
  <c r="N5" i="1"/>
  <c r="N6" i="1"/>
  <c r="N7" i="1"/>
  <c r="N8" i="1"/>
  <c r="N9" i="1"/>
  <c r="N10" i="1"/>
  <c r="N11" i="1"/>
  <c r="N3" i="1"/>
  <c r="A14" i="1"/>
  <c r="A15" i="1" s="1"/>
  <c r="A16" i="1" s="1"/>
  <c r="A17" i="1" s="1"/>
  <c r="A18" i="1" s="1"/>
  <c r="A13" i="1"/>
  <c r="B8" i="1"/>
  <c r="B9" i="1" s="1"/>
  <c r="B10" i="1" s="1"/>
  <c r="B11" i="1" s="1"/>
  <c r="B12" i="1" s="1"/>
  <c r="B15" i="1"/>
  <c r="B16" i="1" s="1"/>
  <c r="B17" i="1" s="1"/>
  <c r="B18" i="1" s="1"/>
  <c r="A4" i="1"/>
  <c r="A5" i="1" s="1"/>
  <c r="A6" i="1" s="1"/>
  <c r="A7" i="1" s="1"/>
  <c r="A8" i="1" s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<sst xmlns="http://schemas.openxmlformats.org/spreadsheetml/2006/main" count="35" uniqueCount="21">
  <si>
    <t>Run</t>
  </si>
  <si>
    <t>Condition</t>
  </si>
  <si>
    <t>mM</t>
  </si>
  <si>
    <t>pH</t>
  </si>
  <si>
    <t>C</t>
  </si>
  <si>
    <t>OC</t>
  </si>
  <si>
    <t>7C</t>
  </si>
  <si>
    <t>20mM- KI</t>
  </si>
  <si>
    <t>40mM- KI</t>
  </si>
  <si>
    <t>Component Analysis</t>
  </si>
  <si>
    <t>Start</t>
  </si>
  <si>
    <t>Add_Sol</t>
  </si>
  <si>
    <t>Colour Change</t>
  </si>
  <si>
    <t>End</t>
  </si>
  <si>
    <t>__</t>
  </si>
  <si>
    <t>Interval</t>
  </si>
  <si>
    <t>Iodine Gen</t>
  </si>
  <si>
    <t xml:space="preserve">Take the last 100 spectra and accumulate </t>
  </si>
  <si>
    <t>Take the spectra with the interval range and accumulate them</t>
  </si>
  <si>
    <t>no  change</t>
  </si>
  <si>
    <t>Accumulate the spectra within this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</si>
</sst>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0" fillId="5" borderId="0" xfId="0" applyFill="1"/>
    <xf numFmtId="0" fontId="4" fillId="0" borderId="0" xfId="0" applyFont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51D43-2887-45A4-824C-B7A1AA2A843F}">
  <dimension ref="A1:P20"/>
  <sheetViews>
    <sheetView tabSelected="1" workbookViewId="0">
      <selection activeCell="I1" sqref="I1"/>
    </sheetView>
  </sheetViews>
  <sheetFormatPr defaultRowHeight="14.4" x14ac:dyDescent="0.3"/>
  <sheetData>
    <row r="1" spans="1:16" x14ac:dyDescent="0.3">
      <c r="F1" t="s">
        <v>9</v>
      </c>
    </row>
    <row r="2" spans="1:16" x14ac:dyDescent="0.3">
      <c r="A2" t="s">
        <v>0</v>
      </c>
      <c r="B2" t="s">
        <v>1</v>
      </c>
      <c r="F2" t="s">
        <v>10</v>
      </c>
      <c r="H2" t="s">
        <v>11</v>
      </c>
      <c r="J2" t="s">
        <v>12</v>
      </c>
      <c r="L2" t="s">
        <v>13</v>
      </c>
      <c r="M2" t="s">
        <v>10</v>
      </c>
      <c r="N2" t="s">
        <v>15</v>
      </c>
      <c r="O2" t="s">
        <v>16</v>
      </c>
    </row>
    <row r="3" spans="1:16" x14ac:dyDescent="0.3">
      <c r="A3">
        <v>4</v>
      </c>
      <c r="B3">
        <v>1</v>
      </c>
      <c r="C3" t="s">
        <v>4</v>
      </c>
      <c r="D3" t="s">
        <v>5</v>
      </c>
      <c r="F3">
        <v>1</v>
      </c>
      <c r="G3">
        <v>414</v>
      </c>
      <c r="H3">
        <v>417</v>
      </c>
      <c r="I3">
        <v>469</v>
      </c>
      <c r="J3">
        <v>470</v>
      </c>
      <c r="K3">
        <v>1426</v>
      </c>
      <c r="M3" s="7">
        <f>G3-F3</f>
        <v>413</v>
      </c>
      <c r="N3" s="5">
        <f>I3-H3</f>
        <v>52</v>
      </c>
      <c r="O3" s="3">
        <f>K3-J3</f>
        <v>956</v>
      </c>
      <c r="P3" s="8" t="s">
        <v>20</v>
      </c>
    </row>
    <row r="4" spans="1:16" x14ac:dyDescent="0.3">
      <c r="A4">
        <f>A3+1</f>
        <v>5</v>
      </c>
      <c r="B4">
        <v>7</v>
      </c>
      <c r="C4" t="s">
        <v>4</v>
      </c>
      <c r="D4" t="s">
        <v>6</v>
      </c>
      <c r="F4">
        <v>1</v>
      </c>
      <c r="G4">
        <v>195</v>
      </c>
      <c r="H4">
        <v>206</v>
      </c>
      <c r="I4">
        <v>239</v>
      </c>
      <c r="J4">
        <v>241</v>
      </c>
      <c r="K4">
        <v>973</v>
      </c>
      <c r="M4">
        <f t="shared" ref="M4:M20" si="0">G4-F4</f>
        <v>194</v>
      </c>
      <c r="N4">
        <f t="shared" ref="N4:N20" si="1">I4-H4</f>
        <v>33</v>
      </c>
      <c r="O4">
        <f t="shared" ref="O4:O20" si="2">K4-J4</f>
        <v>732</v>
      </c>
      <c r="P4" s="6" t="s">
        <v>18</v>
      </c>
    </row>
    <row r="5" spans="1:16" x14ac:dyDescent="0.3">
      <c r="A5">
        <f t="shared" ref="A5:A12" si="3">A4+1</f>
        <v>6</v>
      </c>
      <c r="B5">
        <v>15</v>
      </c>
      <c r="C5" t="s">
        <v>4</v>
      </c>
      <c r="F5">
        <v>1</v>
      </c>
      <c r="G5">
        <v>154</v>
      </c>
      <c r="H5">
        <v>172</v>
      </c>
      <c r="I5">
        <v>190</v>
      </c>
      <c r="J5">
        <v>192</v>
      </c>
      <c r="K5">
        <v>894</v>
      </c>
      <c r="M5">
        <f t="shared" si="0"/>
        <v>153</v>
      </c>
      <c r="N5">
        <f t="shared" si="1"/>
        <v>18</v>
      </c>
      <c r="O5">
        <f t="shared" si="2"/>
        <v>702</v>
      </c>
      <c r="P5" s="4" t="s">
        <v>17</v>
      </c>
    </row>
    <row r="6" spans="1:16" x14ac:dyDescent="0.3">
      <c r="A6">
        <f t="shared" si="3"/>
        <v>7</v>
      </c>
      <c r="B6">
        <v>20</v>
      </c>
      <c r="C6" t="s">
        <v>4</v>
      </c>
      <c r="F6">
        <v>1</v>
      </c>
      <c r="G6">
        <v>214</v>
      </c>
      <c r="H6">
        <v>223</v>
      </c>
      <c r="I6">
        <v>235</v>
      </c>
      <c r="J6">
        <v>239</v>
      </c>
      <c r="K6">
        <v>1195</v>
      </c>
      <c r="M6">
        <f t="shared" si="0"/>
        <v>213</v>
      </c>
      <c r="N6">
        <f t="shared" si="1"/>
        <v>12</v>
      </c>
      <c r="O6">
        <f t="shared" si="2"/>
        <v>956</v>
      </c>
    </row>
    <row r="7" spans="1:16" x14ac:dyDescent="0.3">
      <c r="A7">
        <f t="shared" si="3"/>
        <v>8</v>
      </c>
      <c r="B7">
        <v>8</v>
      </c>
      <c r="C7" t="s">
        <v>3</v>
      </c>
      <c r="D7">
        <v>8.23</v>
      </c>
      <c r="F7">
        <v>1</v>
      </c>
      <c r="G7">
        <v>132</v>
      </c>
      <c r="H7">
        <v>138</v>
      </c>
      <c r="I7">
        <v>154</v>
      </c>
      <c r="J7">
        <v>156</v>
      </c>
      <c r="K7">
        <v>511</v>
      </c>
      <c r="M7">
        <f t="shared" si="0"/>
        <v>131</v>
      </c>
      <c r="N7">
        <f t="shared" si="1"/>
        <v>16</v>
      </c>
      <c r="O7">
        <f t="shared" si="2"/>
        <v>355</v>
      </c>
    </row>
    <row r="8" spans="1:16" x14ac:dyDescent="0.3">
      <c r="A8">
        <f t="shared" si="3"/>
        <v>9</v>
      </c>
      <c r="B8">
        <f>B7+1</f>
        <v>9</v>
      </c>
      <c r="C8" t="s">
        <v>3</v>
      </c>
      <c r="D8">
        <v>9.85</v>
      </c>
      <c r="F8">
        <v>1</v>
      </c>
      <c r="G8">
        <v>192</v>
      </c>
      <c r="H8">
        <v>197</v>
      </c>
      <c r="I8">
        <v>212</v>
      </c>
      <c r="J8">
        <v>215</v>
      </c>
      <c r="K8">
        <v>580</v>
      </c>
      <c r="M8">
        <f t="shared" si="0"/>
        <v>191</v>
      </c>
      <c r="N8">
        <f t="shared" si="1"/>
        <v>15</v>
      </c>
      <c r="O8">
        <f t="shared" si="2"/>
        <v>365</v>
      </c>
    </row>
    <row r="9" spans="1:16" x14ac:dyDescent="0.3">
      <c r="A9">
        <f t="shared" si="3"/>
        <v>10</v>
      </c>
      <c r="B9">
        <f t="shared" ref="B9:B12" si="4">B8+1</f>
        <v>10</v>
      </c>
      <c r="C9" t="s">
        <v>3</v>
      </c>
      <c r="D9">
        <v>10.26</v>
      </c>
      <c r="F9">
        <v>1</v>
      </c>
      <c r="G9">
        <v>100</v>
      </c>
      <c r="H9">
        <v>106</v>
      </c>
      <c r="I9">
        <v>122</v>
      </c>
      <c r="J9">
        <v>123</v>
      </c>
      <c r="K9">
        <v>465</v>
      </c>
      <c r="M9">
        <f t="shared" si="0"/>
        <v>99</v>
      </c>
      <c r="N9">
        <f t="shared" si="1"/>
        <v>16</v>
      </c>
      <c r="O9">
        <f t="shared" si="2"/>
        <v>342</v>
      </c>
    </row>
    <row r="10" spans="1:16" x14ac:dyDescent="0.3">
      <c r="A10">
        <f t="shared" si="3"/>
        <v>11</v>
      </c>
      <c r="B10">
        <f t="shared" si="4"/>
        <v>11</v>
      </c>
      <c r="C10" t="s">
        <v>3</v>
      </c>
      <c r="D10">
        <v>11.01</v>
      </c>
      <c r="F10">
        <v>1</v>
      </c>
      <c r="G10">
        <v>115</v>
      </c>
      <c r="H10">
        <v>122</v>
      </c>
      <c r="I10">
        <v>139</v>
      </c>
      <c r="J10">
        <v>140</v>
      </c>
      <c r="K10">
        <v>479</v>
      </c>
      <c r="M10">
        <f t="shared" si="0"/>
        <v>114</v>
      </c>
      <c r="N10">
        <f t="shared" si="1"/>
        <v>17</v>
      </c>
      <c r="O10">
        <f t="shared" si="2"/>
        <v>339</v>
      </c>
    </row>
    <row r="11" spans="1:16" x14ac:dyDescent="0.3">
      <c r="A11">
        <f t="shared" si="3"/>
        <v>12</v>
      </c>
      <c r="B11">
        <f t="shared" si="4"/>
        <v>12</v>
      </c>
      <c r="C11" t="s">
        <v>3</v>
      </c>
      <c r="D11">
        <v>11.99</v>
      </c>
      <c r="F11">
        <v>1</v>
      </c>
      <c r="G11">
        <v>136</v>
      </c>
      <c r="H11">
        <v>148</v>
      </c>
      <c r="I11">
        <v>166</v>
      </c>
      <c r="J11">
        <v>171</v>
      </c>
      <c r="K11">
        <v>645</v>
      </c>
      <c r="M11">
        <f t="shared" si="0"/>
        <v>135</v>
      </c>
      <c r="N11">
        <f t="shared" si="1"/>
        <v>18</v>
      </c>
      <c r="O11">
        <f t="shared" si="2"/>
        <v>474</v>
      </c>
    </row>
    <row r="12" spans="1:16" x14ac:dyDescent="0.3">
      <c r="A12" s="1">
        <f t="shared" si="3"/>
        <v>13</v>
      </c>
      <c r="B12" s="1">
        <f t="shared" si="4"/>
        <v>13</v>
      </c>
      <c r="C12" s="1" t="s">
        <v>3</v>
      </c>
      <c r="D12" s="1">
        <v>12.87</v>
      </c>
      <c r="E12" s="1"/>
      <c r="F12" s="1">
        <v>1</v>
      </c>
      <c r="G12" s="1">
        <v>75</v>
      </c>
      <c r="H12" s="1">
        <v>90</v>
      </c>
      <c r="I12" s="1" t="s">
        <v>14</v>
      </c>
      <c r="J12" s="1"/>
      <c r="K12" s="1">
        <v>3000</v>
      </c>
      <c r="L12" s="2" t="s">
        <v>19</v>
      </c>
      <c r="M12">
        <f t="shared" si="0"/>
        <v>74</v>
      </c>
      <c r="N12" s="1"/>
      <c r="O12" s="1"/>
    </row>
    <row r="13" spans="1:16" x14ac:dyDescent="0.3">
      <c r="A13">
        <f>A12+1</f>
        <v>14</v>
      </c>
      <c r="B13">
        <v>15</v>
      </c>
      <c r="C13" t="s">
        <v>2</v>
      </c>
      <c r="F13">
        <v>1</v>
      </c>
      <c r="G13">
        <v>151</v>
      </c>
      <c r="H13">
        <v>158</v>
      </c>
      <c r="I13">
        <v>163</v>
      </c>
      <c r="J13">
        <v>167</v>
      </c>
      <c r="K13">
        <v>581</v>
      </c>
      <c r="M13">
        <f t="shared" si="0"/>
        <v>150</v>
      </c>
      <c r="N13">
        <f t="shared" si="1"/>
        <v>5</v>
      </c>
      <c r="O13">
        <f t="shared" si="2"/>
        <v>414</v>
      </c>
    </row>
    <row r="14" spans="1:16" x14ac:dyDescent="0.3">
      <c r="A14">
        <f t="shared" ref="A14:A18" si="5">A13+1</f>
        <v>15</v>
      </c>
      <c r="B14">
        <v>20</v>
      </c>
      <c r="C14" t="s">
        <v>2</v>
      </c>
      <c r="F14">
        <v>1</v>
      </c>
      <c r="G14">
        <v>207</v>
      </c>
      <c r="H14">
        <v>215</v>
      </c>
      <c r="I14">
        <v>229</v>
      </c>
      <c r="J14">
        <v>233</v>
      </c>
      <c r="K14">
        <v>564</v>
      </c>
      <c r="M14" s="9">
        <f t="shared" si="0"/>
        <v>206</v>
      </c>
      <c r="N14" s="9">
        <f t="shared" si="1"/>
        <v>14</v>
      </c>
      <c r="O14" s="9">
        <f t="shared" si="2"/>
        <v>331</v>
      </c>
    </row>
    <row r="15" spans="1:16" x14ac:dyDescent="0.3">
      <c r="A15">
        <f t="shared" si="5"/>
        <v>16</v>
      </c>
      <c r="B15">
        <f>B14+5</f>
        <v>25</v>
      </c>
      <c r="C15" t="s">
        <v>2</v>
      </c>
      <c r="F15">
        <v>1</v>
      </c>
      <c r="G15">
        <v>137</v>
      </c>
      <c r="H15">
        <v>144</v>
      </c>
      <c r="I15">
        <v>158</v>
      </c>
      <c r="J15">
        <v>163</v>
      </c>
      <c r="K15">
        <v>541</v>
      </c>
      <c r="M15">
        <f t="shared" si="0"/>
        <v>136</v>
      </c>
      <c r="N15">
        <f t="shared" si="1"/>
        <v>14</v>
      </c>
      <c r="O15">
        <f t="shared" si="2"/>
        <v>378</v>
      </c>
    </row>
    <row r="16" spans="1:16" x14ac:dyDescent="0.3">
      <c r="A16">
        <f t="shared" si="5"/>
        <v>17</v>
      </c>
      <c r="B16">
        <f>B15+5</f>
        <v>30</v>
      </c>
      <c r="C16" t="s">
        <v>2</v>
      </c>
      <c r="F16">
        <v>1</v>
      </c>
      <c r="G16">
        <v>172</v>
      </c>
      <c r="H16">
        <v>183</v>
      </c>
      <c r="I16">
        <v>201</v>
      </c>
      <c r="J16">
        <v>202</v>
      </c>
      <c r="K16">
        <v>579</v>
      </c>
      <c r="M16">
        <f t="shared" si="0"/>
        <v>171</v>
      </c>
      <c r="N16">
        <f t="shared" si="1"/>
        <v>18</v>
      </c>
      <c r="O16">
        <f t="shared" si="2"/>
        <v>377</v>
      </c>
    </row>
    <row r="17" spans="1:15" x14ac:dyDescent="0.3">
      <c r="A17">
        <f t="shared" si="5"/>
        <v>18</v>
      </c>
      <c r="B17">
        <f>B16+5</f>
        <v>35</v>
      </c>
      <c r="C17" t="s">
        <v>2</v>
      </c>
      <c r="F17">
        <v>1</v>
      </c>
      <c r="G17">
        <v>195</v>
      </c>
      <c r="H17">
        <v>202</v>
      </c>
      <c r="I17">
        <v>224</v>
      </c>
      <c r="J17">
        <v>225</v>
      </c>
      <c r="K17">
        <v>578</v>
      </c>
      <c r="M17">
        <f t="shared" si="0"/>
        <v>194</v>
      </c>
      <c r="N17">
        <f t="shared" si="1"/>
        <v>22</v>
      </c>
      <c r="O17">
        <f t="shared" si="2"/>
        <v>353</v>
      </c>
    </row>
    <row r="18" spans="1:15" x14ac:dyDescent="0.3">
      <c r="A18">
        <f t="shared" si="5"/>
        <v>19</v>
      </c>
      <c r="B18">
        <f>B17+5</f>
        <v>40</v>
      </c>
      <c r="C18" t="s">
        <v>2</v>
      </c>
      <c r="F18">
        <v>1</v>
      </c>
      <c r="G18">
        <v>221</v>
      </c>
      <c r="H18">
        <v>233</v>
      </c>
      <c r="I18">
        <v>256</v>
      </c>
      <c r="J18">
        <v>257</v>
      </c>
      <c r="K18">
        <v>931</v>
      </c>
      <c r="M18" s="10">
        <f t="shared" si="0"/>
        <v>220</v>
      </c>
      <c r="N18" s="10">
        <f t="shared" si="1"/>
        <v>23</v>
      </c>
      <c r="O18" s="10">
        <f t="shared" si="2"/>
        <v>674</v>
      </c>
    </row>
    <row r="19" spans="1:15" x14ac:dyDescent="0.3">
      <c r="A19">
        <v>20</v>
      </c>
      <c r="B19" t="s">
        <v>7</v>
      </c>
      <c r="F19">
        <v>1</v>
      </c>
      <c r="G19">
        <v>70</v>
      </c>
      <c r="H19">
        <v>75</v>
      </c>
      <c r="I19">
        <v>807</v>
      </c>
      <c r="J19">
        <v>808</v>
      </c>
      <c r="K19">
        <v>1101</v>
      </c>
      <c r="M19" s="9">
        <f t="shared" si="0"/>
        <v>69</v>
      </c>
      <c r="N19" s="9">
        <f t="shared" si="1"/>
        <v>732</v>
      </c>
      <c r="O19" s="9">
        <f t="shared" si="2"/>
        <v>293</v>
      </c>
    </row>
    <row r="20" spans="1:15" x14ac:dyDescent="0.3">
      <c r="A20">
        <v>21</v>
      </c>
      <c r="B20" t="s">
        <v>8</v>
      </c>
      <c r="F20">
        <v>1</v>
      </c>
      <c r="G20">
        <v>46</v>
      </c>
      <c r="H20">
        <v>51</v>
      </c>
      <c r="I20">
        <v>1140</v>
      </c>
      <c r="J20">
        <v>1141</v>
      </c>
      <c r="K20">
        <v>1816</v>
      </c>
      <c r="M20" s="10">
        <f t="shared" si="0"/>
        <v>45</v>
      </c>
      <c r="N20" s="10">
        <f t="shared" si="1"/>
        <v>1089</v>
      </c>
      <c r="O20" s="10">
        <f t="shared" si="2"/>
        <v>675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3255131-b129-4010-86e1-474bfd7e8076}" enabled="0" method="" siteId="{53255131-b129-4010-86e1-474bfd7e807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Gray, Clark</dc:creator>
  <cp:lastModifiedBy>Gray, Clark</cp:lastModifiedBy>
  <dcterms:created xsi:type="dcterms:W3CDTF">2025-01-23T08:16:22Z</dcterms:created>
  <dcterms:modified xsi:type="dcterms:W3CDTF">2026-03-06T12:53:06Z</dcterms:modified>
</cp:coreProperties>
</file>